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630458C2-6416-4E6E-9AA4-E0E9C889FB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" l="1"/>
  <c r="F14" i="1"/>
  <c r="F13" i="1"/>
  <c r="F12" i="1"/>
  <c r="F11" i="1"/>
  <c r="F10" i="1"/>
  <c r="F9" i="1"/>
  <c r="F8" i="1"/>
  <c r="F7" i="1"/>
  <c r="F6" i="1"/>
  <c r="F5" i="1"/>
  <c r="F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<sst xmlns="http://schemas.openxmlformats.org/spreadsheetml/2006/main" count="9" uniqueCount="9">
  <si>
    <t>student-ust-convexity-visualizer</t>
  </si>
  <si>
    <t>PAR</t>
  </si>
  <si>
    <t>simple student convexity and dv01 visualizer. built to emphasize the limits of understanding dv01 in simply mod terms</t>
  </si>
  <si>
    <t>input</t>
  </si>
  <si>
    <t>shock bp</t>
  </si>
  <si>
    <t>mod price</t>
  </si>
  <si>
    <t>convex price</t>
  </si>
  <si>
    <t>mod</t>
  </si>
  <si>
    <t>convexity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</si>
</sst>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0" borderId="0" xfId="0" applyAlignment="1">
      <alignment horizontal="center" vertical="top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 vs CONVEXITY DV01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Sheet1!$D$4:$D$14</c:f>
              <c:numCache>
                <c:formatCode>General</c:formatCode>
                <c:ptCount val="11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  <c:pt idx="6">
                  <c:v>-10</c:v>
                </c:pt>
                <c:pt idx="7">
                  <c:v>-20</c:v>
                </c:pt>
                <c:pt idx="8">
                  <c:v>-30</c:v>
                </c:pt>
                <c:pt idx="9">
                  <c:v>-40</c:v>
                </c:pt>
                <c:pt idx="10">
                  <c:v>-50</c:v>
                </c:pt>
              </c:numCache>
            </c:numRef>
          </c:xVal>
          <c:yVal>
            <c:numRef>
              <c:f>Sheet1!$E$4:$E$14</c:f>
              <c:numCache>
                <c:formatCode>General</c:formatCode>
                <c:ptCount val="11"/>
                <c:pt idx="0">
                  <c:v>96</c:v>
                </c:pt>
                <c:pt idx="1">
                  <c:v>96.8</c:v>
                </c:pt>
                <c:pt idx="2">
                  <c:v>97.6</c:v>
                </c:pt>
                <c:pt idx="3">
                  <c:v>98.4</c:v>
                </c:pt>
                <c:pt idx="4">
                  <c:v>99.2</c:v>
                </c:pt>
                <c:pt idx="5">
                  <c:v>100</c:v>
                </c:pt>
                <c:pt idx="6">
                  <c:v>100.8</c:v>
                </c:pt>
                <c:pt idx="7">
                  <c:v>101.6</c:v>
                </c:pt>
                <c:pt idx="8">
                  <c:v>102.4</c:v>
                </c:pt>
                <c:pt idx="9">
                  <c:v>103.2</c:v>
                </c:pt>
                <c:pt idx="10">
                  <c:v>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4-4EE4-BB19-3A8883DCD8B5}"/>
            </c:ext>
          </c:extLst>
        </c:ser>
        <c:ser>
          <c:idx val="1"/>
          <c:order val="1"/>
          <c:tx>
            <c:v>CONVEXITY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Sheet1!$D$4:$D$14</c:f>
              <c:numCache>
                <c:formatCode>General</c:formatCode>
                <c:ptCount val="11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  <c:pt idx="6">
                  <c:v>-10</c:v>
                </c:pt>
                <c:pt idx="7">
                  <c:v>-20</c:v>
                </c:pt>
                <c:pt idx="8">
                  <c:v>-30</c:v>
                </c:pt>
                <c:pt idx="9">
                  <c:v>-40</c:v>
                </c:pt>
                <c:pt idx="10">
                  <c:v>-50</c:v>
                </c:pt>
              </c:numCache>
            </c:numRef>
          </c:xVal>
          <c:yVal>
            <c:numRef>
              <c:f>Sheet1!$F$4:$F$14</c:f>
              <c:numCache>
                <c:formatCode>General</c:formatCode>
                <c:ptCount val="11"/>
                <c:pt idx="0">
                  <c:v>99.125</c:v>
                </c:pt>
                <c:pt idx="1">
                  <c:v>98.8</c:v>
                </c:pt>
                <c:pt idx="2">
                  <c:v>98.724999999999994</c:v>
                </c:pt>
                <c:pt idx="3">
                  <c:v>98.9</c:v>
                </c:pt>
                <c:pt idx="4">
                  <c:v>99.325000000000003</c:v>
                </c:pt>
                <c:pt idx="5">
                  <c:v>100</c:v>
                </c:pt>
                <c:pt idx="6">
                  <c:v>100.925</c:v>
                </c:pt>
                <c:pt idx="7">
                  <c:v>102.1</c:v>
                </c:pt>
                <c:pt idx="8">
                  <c:v>103.52500000000001</c:v>
                </c:pt>
                <c:pt idx="9">
                  <c:v>105.2</c:v>
                </c:pt>
                <c:pt idx="10">
                  <c:v>107.125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A4-4EE4-BB19-3A8883DCD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310471"/>
        <c:axId val="509312519"/>
      </c:scatterChart>
      <c:valAx>
        <c:axId val="509310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12519"/>
        <c:crosses val="autoZero"/>
        <c:crossBetween val="midCat"/>
      </c:valAx>
      <c:valAx>
        <c:axId val="50931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10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0</xdr:row>
      <xdr:rowOff>0</xdr:rowOff>
    </xdr:from>
    <xdr:to>
      <xdr:col>23</xdr:col>
      <xdr:colOff>0</xdr:colOff>
      <xdr:row>13</xdr:row>
      <xdr:rowOff>304800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7AA982-0FD9-CB8E-6921-EF733DAFA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P21" sqref="P21"/>
    </sheetView>
  </sheetViews>
  <sheetFormatPr defaultRowHeight="15"/>
  <cols>
    <col min="1" max="1" width="37.7109375" customWidth="1"/>
    <col min="2" max="2" width="12.85546875" customWidth="1"/>
    <col min="4" max="4" width="18.85546875" customWidth="1"/>
    <col min="5" max="5" width="16.42578125" customWidth="1"/>
    <col min="6" max="6" width="14.7109375" customWidth="1"/>
  </cols>
  <sheetData>
    <row r="1" spans="1:6" ht="36.75" customHeight="1">
      <c r="A1" s="1" t="s">
        <v>0</v>
      </c>
      <c r="D1" s="9" t="s">
        <v>1</v>
      </c>
      <c r="E1" s="8">
        <v>100</v>
      </c>
    </row>
    <row r="2" spans="1:6" ht="52.5" customHeight="1">
      <c r="A2" s="5" t="s">
        <v>2</v>
      </c>
    </row>
    <row r="3" spans="1:6" ht="30.75" customHeight="1">
      <c r="A3" s="2" t="s">
        <v>3</v>
      </c>
      <c r="B3" s="4"/>
      <c r="D3" s="6" t="s">
        <v>4</v>
      </c>
      <c r="E3" t="s">
        <v>5</v>
      </c>
      <c r="F3" t="s">
        <v>6</v>
      </c>
    </row>
    <row r="4" spans="1:6" ht="29.25" customHeight="1">
      <c r="A4" t="s">
        <v>7</v>
      </c>
      <c r="B4" s="3">
        <v>8</v>
      </c>
      <c r="D4">
        <v>50</v>
      </c>
      <c r="E4" s="7">
        <f>E1*(1-B4*((D4)/10000))</f>
        <v>96</v>
      </c>
      <c r="F4" s="7">
        <f>E1*(1-B4*((D4)/10000)+(1/2)*((B5)*(((D4)/10000)^2)))</f>
        <v>99.125</v>
      </c>
    </row>
    <row r="5" spans="1:6" ht="27" customHeight="1">
      <c r="A5" t="s">
        <v>8</v>
      </c>
      <c r="B5" s="3">
        <v>2500</v>
      </c>
      <c r="D5">
        <v>40</v>
      </c>
      <c r="E5" s="7">
        <f>E1*(1-B4*((D5)/10000))</f>
        <v>96.8</v>
      </c>
      <c r="F5" s="7">
        <f>E1*(1-B4*((D5)/10000)+(1/2)*((B5)*(((D5)/10000)^2)))</f>
        <v>98.8</v>
      </c>
    </row>
    <row r="6" spans="1:6" ht="31.5" customHeight="1">
      <c r="B6" s="4"/>
      <c r="D6">
        <v>30</v>
      </c>
      <c r="E6" s="7">
        <f>E1*(1-B4*((D6)/10000))</f>
        <v>97.6</v>
      </c>
      <c r="F6" s="7">
        <f>E1*(1-B4*((D6)/10000)+(1/2)*((B5)*(((D6)/10000)^2)))</f>
        <v>98.724999999999994</v>
      </c>
    </row>
    <row r="7" spans="1:6" ht="28.5" customHeight="1">
      <c r="B7" s="4"/>
      <c r="D7">
        <v>20</v>
      </c>
      <c r="E7" s="7">
        <f>E1*(1-B4*((D7)/10000))</f>
        <v>98.4</v>
      </c>
      <c r="F7" s="7">
        <f>E1*(1-B4*((D7)/10000)+(1/2)*((B5)*(((D7)/10000)^2)))</f>
        <v>98.9</v>
      </c>
    </row>
    <row r="8" spans="1:6" ht="30" customHeight="1">
      <c r="D8">
        <v>10</v>
      </c>
      <c r="E8" s="7">
        <f>E1*(1-B4*((D8)/10000))</f>
        <v>99.2</v>
      </c>
      <c r="F8" s="7">
        <f>E1*(1-B4*((D8)/10000)+(1/2)*((B5)*(((D8)/10000)^2)))</f>
        <v>99.325000000000003</v>
      </c>
    </row>
    <row r="9" spans="1:6" ht="26.25" customHeight="1">
      <c r="D9">
        <v>0</v>
      </c>
      <c r="E9" s="7">
        <f>E1*(1-B4*((D9)/10000))</f>
        <v>100</v>
      </c>
      <c r="F9" s="7">
        <f>E1*(1-B4*((D9)/10000)+(1/2)*((B5)*(((D9)/10000)^2)))</f>
        <v>100</v>
      </c>
    </row>
    <row r="10" spans="1:6" ht="25.5" customHeight="1">
      <c r="D10">
        <v>-10</v>
      </c>
      <c r="E10" s="7">
        <f>E1*(1-B4*((D10)/10000))</f>
        <v>100.8</v>
      </c>
      <c r="F10" s="7">
        <f>E1*(1-B4*((D10)/10000)+(1/2)*((B5)*(((D10)/10000)^2)))</f>
        <v>100.925</v>
      </c>
    </row>
    <row r="11" spans="1:6" ht="27" customHeight="1">
      <c r="D11">
        <v>-20</v>
      </c>
      <c r="E11" s="7">
        <f>E1*(1-B4*((D11)/10000))</f>
        <v>101.6</v>
      </c>
      <c r="F11" s="7">
        <f>E1*(1-B4*((D11)/10000)+(1/2)*((B5)*(((D11)/10000)^2)))</f>
        <v>102.1</v>
      </c>
    </row>
    <row r="12" spans="1:6" ht="27" customHeight="1">
      <c r="D12">
        <v>-30</v>
      </c>
      <c r="E12" s="7">
        <f>E1*(1-B4*((D12)/10000))</f>
        <v>102.4</v>
      </c>
      <c r="F12" s="7">
        <f>E1*(1-B4*((D12)/10000)+(1/2)*((B5)*(((D12)/10000)^2)))</f>
        <v>103.52500000000001</v>
      </c>
    </row>
    <row r="13" spans="1:6" ht="26.25" customHeight="1">
      <c r="D13">
        <v>-40</v>
      </c>
      <c r="E13" s="7">
        <f>E1*(1-B4*((D13)/10000))</f>
        <v>103.2</v>
      </c>
      <c r="F13" s="7">
        <f>E1*(1-B4*((D13)/10000)+(1/2)*((B5)*(((D13)/10000)^2)))</f>
        <v>105.2</v>
      </c>
    </row>
    <row r="14" spans="1:6" ht="26.25" customHeight="1">
      <c r="D14">
        <v>-50</v>
      </c>
      <c r="E14" s="7">
        <f>E1*(1-B4*((D14)/10000))</f>
        <v>104</v>
      </c>
      <c r="F14" s="7">
        <f>E1*(1-B4*((D14)/10000)+(1/2)*((B5)*(((D14)/10000)^2)))</f>
        <v>107.125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2026-05-26T03:21:46Z</dcterms:created>
  <dcterms:modified xsi:type="dcterms:W3CDTF">2026-05-26T05:59:18Z</dcterms:modified>
  <cp:category/>
  <cp:contentStatus/>
</cp:coreProperties>
</file>